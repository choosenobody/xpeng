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name="README" sheetId="1" state="visible" r:id="rId1"/>
    <sheet name="Assumptions" sheetId="2" state="visible" r:id="rId2"/>
    <sheet name="Start_Rev_2025" sheetId="3" state="visible" r:id="rId3"/>
    <sheet name="Scenarios" sheetId="4" state="visible" r:id="rId4"/>
    <sheet name="KPI_Monitor" sheetId="5" state="visible" r:id="rId5"/>
    <sheet name="Data_Log" sheetId="6" state="visible" r:id="rId6"/>
    <sheet name="Discipline" sheetId="7" state="visible" r:id="rId7"/>
    <sheet name="Summary" sheetId="8" state="visible" r:id="rId8"/>
    <sheet name="Sensitivit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dxfs count="6">
    <dxf>
      <fill>
        <patternFill patternType="solid">
          <fgColor rgb="FFF2DCDB"/>
          <bgColor rgb="FFF2DCDB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DCDB"/>
          <bgColor rgb="FFF2DCDB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HowTo</t>
        </is>
      </c>
    </row>
    <row r="2">
      <c r="A2" t="inlineStr">
        <is>
          <t>1) 在 Assumptions/Start_Rev_2025/Scenarios 中编辑参数；</t>
        </is>
      </c>
    </row>
    <row r="3">
      <c r="A3" t="inlineStr">
        <is>
          <t>2) Data_Log 每月追加；KPI_Monitor 与 Summary 自动参考；</t>
        </is>
      </c>
    </row>
    <row r="4">
      <c r="A4" t="inlineStr">
        <is>
          <t>3) Sensitivity 显示 WACC × g 下的 Base 情景内在价值热力图；</t>
        </is>
      </c>
    </row>
    <row r="5">
      <c r="A5" t="inlineStr">
        <is>
          <t>4) Discipline 页为函数化仓位规则；</t>
        </is>
      </c>
    </row>
    <row r="6">
      <c r="A6" t="inlineStr">
        <is>
          <t>Build at: 2025-12-29T08:21:30Z UTC (v3)</t>
        </is>
      </c>
    </row>
    <row r="7">
      <c r="A7" t="inlineStr">
        <is>
          <t>v3 更新：KPI_Monitor 增加 Source/Period/Ref/AutoKeywords/LastUpdatedUTC，用于审计与未来自动捕捉披露。</t>
        </is>
      </c>
    </row>
    <row r="8">
      <c r="A8" t="inlineStr">
        <is>
          <t>Robotics Rev Share (%)：若财报未单列披露，Latest 按0%保守；若披露，请按同期间口径填写占比，并在 Ref 填写披露位置。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4"/>
  <cols>
    <col width="30.33203125" bestFit="1" customWidth="1" min="1" max="1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As Of Date</t>
        </is>
      </c>
      <c r="B2" t="inlineStr">
        <is>
          <t>2025-11-17</t>
        </is>
      </c>
    </row>
    <row r="3">
      <c r="A3" t="inlineStr">
        <is>
          <t>Currency</t>
        </is>
      </c>
      <c r="B3" t="inlineStr">
        <is>
          <t>HKD</t>
        </is>
      </c>
    </row>
    <row r="4">
      <c r="A4" t="inlineStr">
        <is>
          <t>Share Count (bn)</t>
        </is>
      </c>
      <c r="B4" t="n">
        <v>1.909771413</v>
      </c>
      <c r="C4" t="inlineStr">
        <is>
          <t>bn</t>
        </is>
      </c>
      <c r="D4" t="inlineStr">
        <is>
          <t>HKEX Monthly Return</t>
        </is>
      </c>
    </row>
    <row r="5">
      <c r="A5" t="inlineStr">
        <is>
          <t>Current Price</t>
        </is>
      </c>
      <c r="B5" t="n">
        <v>96.34999999999999</v>
      </c>
      <c r="C5" t="inlineStr">
        <is>
          <t>HKD</t>
        </is>
      </c>
      <c r="D5" t="inlineStr">
        <is>
          <t>2025-11-17 close</t>
        </is>
      </c>
    </row>
    <row r="6">
      <c r="A6" t="inlineStr">
        <is>
          <t>Net Cash (bn)</t>
        </is>
      </c>
      <c r="B6" t="n">
        <v>39.9</v>
      </c>
      <c r="C6" t="inlineStr">
        <is>
          <t>HKD bn</t>
        </is>
      </c>
      <c r="D6" t="inlineStr">
        <is>
          <t>9/30 season-end</t>
        </is>
      </c>
    </row>
    <row r="7">
      <c r="A7" t="inlineStr">
        <is>
          <t>Risk-Free Rate (Rf)</t>
        </is>
      </c>
      <c r="B7" t="n">
        <v>0.0181</v>
      </c>
    </row>
    <row r="8">
      <c r="A8" t="inlineStr">
        <is>
          <t>Equity Risk Premium (ERP)</t>
        </is>
      </c>
      <c r="B8" t="n">
        <v>0.059</v>
      </c>
    </row>
    <row r="9">
      <c r="A9" t="inlineStr">
        <is>
          <t>Beta</t>
        </is>
      </c>
      <c r="B9" t="n">
        <v>1.04</v>
      </c>
    </row>
    <row r="10">
      <c r="A10" t="inlineStr">
        <is>
          <t>Tax Rate</t>
        </is>
      </c>
      <c r="B10" t="n">
        <v>0.25</v>
      </c>
    </row>
    <row r="11">
      <c r="A11" t="inlineStr">
        <is>
          <t>Target Debt Ratio (D/(D+E))</t>
        </is>
      </c>
      <c r="B11" t="n">
        <v>0.1</v>
      </c>
    </row>
    <row r="12">
      <c r="A12" t="inlineStr">
        <is>
          <t>Pre-tax Cost of Debt</t>
        </is>
      </c>
      <c r="B12" t="n">
        <v>0.045</v>
      </c>
    </row>
    <row r="13">
      <c r="A13" t="inlineStr">
        <is>
          <t>Terminal Growth (g)</t>
        </is>
      </c>
      <c r="B13" t="n">
        <v>0.02</v>
      </c>
    </row>
    <row r="14">
      <c r="A14" t="inlineStr">
        <is>
          <t>Sales-to-Capital</t>
        </is>
      </c>
      <c r="B14" t="n">
        <v>2.5</v>
      </c>
    </row>
    <row r="15">
      <c r="A15" t="inlineStr">
        <is>
          <t>FX CNY per HKD</t>
        </is>
      </c>
      <c r="B15" t="n">
        <v>0.915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Start_Rev_2025 (bn)</t>
        </is>
      </c>
      <c r="B2" t="n">
        <v>110</v>
      </c>
      <c r="C2" t="inlineStr">
        <is>
          <t>HKD bn</t>
        </is>
      </c>
      <c r="D2" t="inlineStr">
        <is>
          <t>可改为报表口径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Rev_CAGR</t>
        </is>
      </c>
      <c r="D1" s="1" t="inlineStr">
        <is>
          <t>EBIT_margin</t>
        </is>
      </c>
    </row>
    <row r="2">
      <c r="A2" t="inlineStr">
        <is>
          <t>Bear</t>
        </is>
      </c>
      <c r="B2" t="n">
        <v>2026</v>
      </c>
      <c r="C2" t="n">
        <v>0.08</v>
      </c>
      <c r="D2" t="n">
        <v>0</v>
      </c>
    </row>
    <row r="3">
      <c r="A3" t="inlineStr">
        <is>
          <t>Bear</t>
        </is>
      </c>
      <c r="B3" t="n">
        <v>2027</v>
      </c>
      <c r="C3" t="n">
        <v>0.08</v>
      </c>
      <c r="D3" t="n">
        <v>0.0125</v>
      </c>
    </row>
    <row r="4">
      <c r="A4" t="inlineStr">
        <is>
          <t>Bear</t>
        </is>
      </c>
      <c r="B4" t="n">
        <v>2028</v>
      </c>
      <c r="C4" t="n">
        <v>0.08</v>
      </c>
      <c r="D4" t="n">
        <v>0.025</v>
      </c>
    </row>
    <row r="5">
      <c r="A5" t="inlineStr">
        <is>
          <t>Bear</t>
        </is>
      </c>
      <c r="B5" t="n">
        <v>2029</v>
      </c>
      <c r="C5" t="n">
        <v>0.08</v>
      </c>
      <c r="D5" t="n">
        <v>0.03750000000000001</v>
      </c>
    </row>
    <row r="6">
      <c r="A6" t="inlineStr">
        <is>
          <t>Bear</t>
        </is>
      </c>
      <c r="B6" t="n">
        <v>2030</v>
      </c>
      <c r="C6" t="n">
        <v>0.08</v>
      </c>
      <c r="D6" t="n">
        <v>0.05</v>
      </c>
    </row>
    <row r="7">
      <c r="A7" t="inlineStr">
        <is>
          <t>Bear</t>
        </is>
      </c>
      <c r="B7" t="n">
        <v>2031</v>
      </c>
      <c r="C7" t="n">
        <v>0.08</v>
      </c>
      <c r="D7" t="n">
        <v>0.05</v>
      </c>
    </row>
    <row r="8">
      <c r="A8" t="inlineStr">
        <is>
          <t>Bear</t>
        </is>
      </c>
      <c r="B8" t="n">
        <v>2032</v>
      </c>
      <c r="C8" t="n">
        <v>0.08</v>
      </c>
      <c r="D8" t="n">
        <v>0.0525</v>
      </c>
    </row>
    <row r="9">
      <c r="A9" t="inlineStr">
        <is>
          <t>Bear</t>
        </is>
      </c>
      <c r="B9" t="n">
        <v>2033</v>
      </c>
      <c r="C9" t="n">
        <v>0.08</v>
      </c>
      <c r="D9" t="n">
        <v>0.055</v>
      </c>
    </row>
    <row r="10">
      <c r="A10" t="inlineStr">
        <is>
          <t>Bear</t>
        </is>
      </c>
      <c r="B10" t="n">
        <v>2034</v>
      </c>
      <c r="C10" t="n">
        <v>0.08</v>
      </c>
      <c r="D10" t="n">
        <v>0.0575</v>
      </c>
    </row>
    <row r="11">
      <c r="A11" t="inlineStr">
        <is>
          <t>Bear</t>
        </is>
      </c>
      <c r="B11" t="n">
        <v>2035</v>
      </c>
      <c r="C11" t="n">
        <v>0.08</v>
      </c>
      <c r="D11" t="n">
        <v>0.06</v>
      </c>
    </row>
    <row r="12">
      <c r="A12" t="inlineStr">
        <is>
          <t>Base</t>
        </is>
      </c>
      <c r="B12" t="n">
        <v>2026</v>
      </c>
      <c r="C12" t="n">
        <v>0.18</v>
      </c>
      <c r="D12" t="n">
        <v>0</v>
      </c>
    </row>
    <row r="13">
      <c r="A13" t="inlineStr">
        <is>
          <t>Base</t>
        </is>
      </c>
      <c r="B13" t="n">
        <v>2027</v>
      </c>
      <c r="C13" t="n">
        <v>0.18</v>
      </c>
      <c r="D13" t="n">
        <v>0.0225</v>
      </c>
    </row>
    <row r="14">
      <c r="A14" t="inlineStr">
        <is>
          <t>Base</t>
        </is>
      </c>
      <c r="B14" t="n">
        <v>2028</v>
      </c>
      <c r="C14" t="n">
        <v>0.18</v>
      </c>
      <c r="D14" t="n">
        <v>0.045</v>
      </c>
    </row>
    <row r="15">
      <c r="A15" t="inlineStr">
        <is>
          <t>Base</t>
        </is>
      </c>
      <c r="B15" t="n">
        <v>2029</v>
      </c>
      <c r="C15" t="n">
        <v>0.18</v>
      </c>
      <c r="D15" t="n">
        <v>0.0675</v>
      </c>
    </row>
    <row r="16">
      <c r="A16" t="inlineStr">
        <is>
          <t>Base</t>
        </is>
      </c>
      <c r="B16" t="n">
        <v>2030</v>
      </c>
      <c r="C16" t="n">
        <v>0.18</v>
      </c>
      <c r="D16" t="n">
        <v>0.09</v>
      </c>
    </row>
    <row r="17">
      <c r="A17" t="inlineStr">
        <is>
          <t>Base</t>
        </is>
      </c>
      <c r="B17" t="n">
        <v>2031</v>
      </c>
      <c r="C17" t="n">
        <v>0.18</v>
      </c>
      <c r="D17" t="n">
        <v>0.09</v>
      </c>
    </row>
    <row r="18">
      <c r="A18" t="inlineStr">
        <is>
          <t>Base</t>
        </is>
      </c>
      <c r="B18" t="n">
        <v>2032</v>
      </c>
      <c r="C18" t="n">
        <v>0.18</v>
      </c>
      <c r="D18" t="n">
        <v>0.0925</v>
      </c>
    </row>
    <row r="19">
      <c r="A19" t="inlineStr">
        <is>
          <t>Base</t>
        </is>
      </c>
      <c r="B19" t="n">
        <v>2033</v>
      </c>
      <c r="C19" t="n">
        <v>0.18</v>
      </c>
      <c r="D19" t="n">
        <v>0.095</v>
      </c>
    </row>
    <row r="20">
      <c r="A20" t="inlineStr">
        <is>
          <t>Base</t>
        </is>
      </c>
      <c r="B20" t="n">
        <v>2034</v>
      </c>
      <c r="C20" t="n">
        <v>0.18</v>
      </c>
      <c r="D20" t="n">
        <v>0.0975</v>
      </c>
    </row>
    <row r="21">
      <c r="A21" t="inlineStr">
        <is>
          <t>Base</t>
        </is>
      </c>
      <c r="B21" t="n">
        <v>2035</v>
      </c>
      <c r="C21" t="n">
        <v>0.18</v>
      </c>
      <c r="D21" t="n">
        <v>0.1</v>
      </c>
    </row>
    <row r="22">
      <c r="A22" t="inlineStr">
        <is>
          <t>Bull</t>
        </is>
      </c>
      <c r="B22" t="n">
        <v>2026</v>
      </c>
      <c r="C22" t="n">
        <v>0.3</v>
      </c>
      <c r="D22" t="n">
        <v>0</v>
      </c>
    </row>
    <row r="23">
      <c r="A23" t="inlineStr">
        <is>
          <t>Bull</t>
        </is>
      </c>
      <c r="B23" t="n">
        <v>2027</v>
      </c>
      <c r="C23" t="n">
        <v>0.3</v>
      </c>
      <c r="D23" t="n">
        <v>0.03</v>
      </c>
    </row>
    <row r="24">
      <c r="A24" t="inlineStr">
        <is>
          <t>Bull</t>
        </is>
      </c>
      <c r="B24" t="n">
        <v>2028</v>
      </c>
      <c r="C24" t="n">
        <v>0.3</v>
      </c>
      <c r="D24" t="n">
        <v>0.06</v>
      </c>
    </row>
    <row r="25">
      <c r="A25" t="inlineStr">
        <is>
          <t>Bull</t>
        </is>
      </c>
      <c r="B25" t="n">
        <v>2029</v>
      </c>
      <c r="C25" t="n">
        <v>0.3</v>
      </c>
      <c r="D25" t="n">
        <v>0.09</v>
      </c>
    </row>
    <row r="26">
      <c r="A26" t="inlineStr">
        <is>
          <t>Bull</t>
        </is>
      </c>
      <c r="B26" t="n">
        <v>2030</v>
      </c>
      <c r="C26" t="n">
        <v>0.3</v>
      </c>
      <c r="D26" t="n">
        <v>0.12</v>
      </c>
    </row>
    <row r="27">
      <c r="A27" t="inlineStr">
        <is>
          <t>Bull</t>
        </is>
      </c>
      <c r="B27" t="n">
        <v>2031</v>
      </c>
      <c r="C27" t="n">
        <v>0.3</v>
      </c>
      <c r="D27" t="n">
        <v>0.12</v>
      </c>
    </row>
    <row r="28">
      <c r="A28" t="inlineStr">
        <is>
          <t>Bull</t>
        </is>
      </c>
      <c r="B28" t="n">
        <v>2032</v>
      </c>
      <c r="C28" t="n">
        <v>0.3</v>
      </c>
      <c r="D28" t="n">
        <v>0.1225</v>
      </c>
    </row>
    <row r="29">
      <c r="A29" t="inlineStr">
        <is>
          <t>Bull</t>
        </is>
      </c>
      <c r="B29" t="n">
        <v>2033</v>
      </c>
      <c r="C29" t="n">
        <v>0.3</v>
      </c>
      <c r="D29" t="n">
        <v>0.125</v>
      </c>
    </row>
    <row r="30">
      <c r="A30" t="inlineStr">
        <is>
          <t>Bull</t>
        </is>
      </c>
      <c r="B30" t="n">
        <v>2034</v>
      </c>
      <c r="C30" t="n">
        <v>0.3</v>
      </c>
      <c r="D30" t="n">
        <v>0.1275</v>
      </c>
    </row>
    <row r="31">
      <c r="A31" t="inlineStr">
        <is>
          <t>Bull</t>
        </is>
      </c>
      <c r="B31" t="n">
        <v>2035</v>
      </c>
      <c r="C31" t="n">
        <v>0.3</v>
      </c>
      <c r="D31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E10" sqref="E10"/>
    </sheetView>
  </sheetViews>
  <sheetFormatPr baseColWidth="8" defaultRowHeight="14.4"/>
  <cols>
    <col width="30.33203125" bestFit="1" customWidth="1" min="1" max="1"/>
    <col width="8.21875" bestFit="1" customWidth="1" min="2" max="2"/>
    <col width="20.21875" bestFit="1" customWidth="1" min="3" max="3"/>
    <col width="27.109375" bestFit="1" customWidth="1" min="4" max="4"/>
    <col width="34.77734375" bestFit="1" customWidth="1" min="5" max="5"/>
    <col width="11.6640625" bestFit="1" customWidth="1" min="6" max="6"/>
    <col width="8.21875" bestFit="1" customWidth="1" min="7" max="7"/>
  </cols>
  <sheetData>
    <row r="1">
      <c r="A1" s="1" t="inlineStr">
        <is>
          <t>Metric</t>
        </is>
      </c>
      <c r="B1" s="1" t="inlineStr">
        <is>
          <t>Latest</t>
        </is>
      </c>
      <c r="C1" s="1" t="inlineStr">
        <is>
          <t>Target/Threshold</t>
        </is>
      </c>
      <c r="D1" s="1" t="inlineStr">
        <is>
          <t>StatusRule</t>
        </is>
      </c>
      <c r="E1" s="1" t="inlineStr">
        <is>
          <t>Comment</t>
        </is>
      </c>
      <c r="F1" s="1" t="inlineStr">
        <is>
          <t>TargetNum</t>
        </is>
      </c>
      <c r="G1" s="1" t="inlineStr">
        <is>
          <t>Status</t>
        </is>
      </c>
      <c r="H1" t="inlineStr">
        <is>
          <t>Source</t>
        </is>
      </c>
      <c r="I1" t="inlineStr">
        <is>
          <t>Period</t>
        </is>
      </c>
      <c r="J1" t="inlineStr">
        <is>
          <t>Ref</t>
        </is>
      </c>
      <c r="K1" t="inlineStr">
        <is>
          <t>AutoKeywords</t>
        </is>
      </c>
      <c r="L1" t="inlineStr">
        <is>
          <t>LastUpdatedUTC</t>
        </is>
      </c>
    </row>
    <row r="2">
      <c r="A2" t="inlineStr">
        <is>
          <t>Vehicle GM (%)</t>
        </is>
      </c>
      <c r="B2" t="n">
        <v>13.1</v>
      </c>
      <c r="C2" t="inlineStr">
        <is>
          <t>&gt;=15</t>
        </is>
      </c>
      <c r="D2" t="inlineStr">
        <is>
          <t>PASS if &gt;=Target</t>
        </is>
      </c>
      <c r="E2" t="inlineStr">
        <is>
          <t>提升至15%将触发上修评级条件之一</t>
        </is>
      </c>
      <c r="F2" t="n">
        <v>15</v>
      </c>
      <c r="G2" t="inlineStr">
        <is>
          <t>FAIL</t>
        </is>
      </c>
      <c r="H2" t="inlineStr">
        <is>
          <t>手工维护</t>
        </is>
      </c>
      <c r="L2" t="inlineStr">
        <is>
          <t>2025-12-29 08:21:12</t>
        </is>
      </c>
    </row>
    <row r="3">
      <c r="A3" t="inlineStr">
        <is>
          <t>Consolidated GM (%)</t>
        </is>
      </c>
      <c r="B3" t="n">
        <v>20.1</v>
      </c>
      <c r="C3" t="inlineStr">
        <is>
          <t>&gt;=20</t>
        </is>
      </c>
      <c r="D3" t="inlineStr">
        <is>
          <t>PASS if &gt;=Target</t>
        </is>
      </c>
      <c r="E3" t="inlineStr">
        <is>
          <t>维持20%以上较稳健</t>
        </is>
      </c>
      <c r="F3" t="n">
        <v>20</v>
      </c>
      <c r="G3" t="inlineStr">
        <is>
          <t>PASS</t>
        </is>
      </c>
      <c r="H3" t="inlineStr">
        <is>
          <t>手工维护</t>
        </is>
      </c>
      <c r="L3" t="inlineStr">
        <is>
          <t>2025-12-29 08:21:12</t>
        </is>
      </c>
    </row>
    <row r="4">
      <c r="A4" t="inlineStr">
        <is>
          <t>FCF (TTM, bn HKD)</t>
        </is>
      </c>
      <c r="B4" t="n">
        <v>-2</v>
      </c>
      <c r="C4" t="inlineStr">
        <is>
          <t>&gt;=0</t>
        </is>
      </c>
      <c r="D4" t="inlineStr">
        <is>
          <t>PASS if &gt;=Target</t>
        </is>
      </c>
      <c r="E4" t="inlineStr">
        <is>
          <t>转正并连续两个季度改善</t>
        </is>
      </c>
      <c r="F4" t="n">
        <v>0</v>
      </c>
      <c r="G4" t="inlineStr">
        <is>
          <t>FAIL</t>
        </is>
      </c>
      <c r="H4" t="inlineStr">
        <is>
          <t>手工维护</t>
        </is>
      </c>
      <c r="L4" t="inlineStr">
        <is>
          <t>2025-12-29 08:21:12</t>
        </is>
      </c>
    </row>
    <row r="5">
      <c r="A5" t="inlineStr">
        <is>
          <t>Tech/Service Rev Share (%)</t>
        </is>
      </c>
      <c r="B5" t="n">
        <v>6</v>
      </c>
      <c r="C5" t="inlineStr">
        <is>
          <t>&gt;=10</t>
        </is>
      </c>
      <c r="D5" t="inlineStr">
        <is>
          <t>PASS if &gt;=Target</t>
        </is>
      </c>
      <c r="E5" t="inlineStr">
        <is>
          <t>高毛利占比提升带动现金流质量</t>
        </is>
      </c>
      <c r="F5" t="n">
        <v>10</v>
      </c>
      <c r="G5" t="inlineStr">
        <is>
          <t>FAIL</t>
        </is>
      </c>
      <c r="H5" t="inlineStr">
        <is>
          <t>手工维护</t>
        </is>
      </c>
      <c r="L5" t="inlineStr">
        <is>
          <t>2025-12-29 08:21:12</t>
        </is>
      </c>
    </row>
    <row r="6">
      <c r="A6" t="inlineStr">
        <is>
          <t>Cash &amp; ST Inv (bn HKD)</t>
        </is>
      </c>
      <c r="B6" t="n">
        <v>52.8</v>
      </c>
      <c r="C6" t="inlineStr">
        <is>
          <t>&gt;=35</t>
        </is>
      </c>
      <c r="D6" t="inlineStr">
        <is>
          <t>PASS if &gt;=Target</t>
        </is>
      </c>
      <c r="E6" t="inlineStr">
        <is>
          <t>低于阈值需警惕</t>
        </is>
      </c>
      <c r="F6" t="n">
        <v>35</v>
      </c>
      <c r="G6" t="inlineStr">
        <is>
          <t>PASS</t>
        </is>
      </c>
      <c r="H6" t="inlineStr">
        <is>
          <t>手工维护</t>
        </is>
      </c>
      <c r="L6" t="inlineStr">
        <is>
          <t>2025-12-29 08:21:12</t>
        </is>
      </c>
    </row>
    <row r="7">
      <c r="A7" t="inlineStr">
        <is>
          <t>1Y Debt Coverage (x)</t>
        </is>
      </c>
      <c r="B7" t="n">
        <v>1.8</v>
      </c>
      <c r="C7" t="inlineStr">
        <is>
          <t>&gt;=1.2</t>
        </is>
      </c>
      <c r="D7" t="inlineStr">
        <is>
          <t>PASS if &gt;=Target</t>
        </is>
      </c>
      <c r="E7" t="inlineStr">
        <is>
          <t>覆盖倍数不足1为红旗</t>
        </is>
      </c>
      <c r="F7" t="n">
        <v>1.2</v>
      </c>
      <c r="G7" t="inlineStr">
        <is>
          <t>PASS</t>
        </is>
      </c>
      <c r="H7" t="inlineStr">
        <is>
          <t>手工维护</t>
        </is>
      </c>
      <c r="L7" t="inlineStr">
        <is>
          <t>2025-12-29 08:21:12</t>
        </is>
      </c>
    </row>
    <row r="8">
      <c r="A8" t="inlineStr">
        <is>
          <t>Monthly Deliveries (units)</t>
        </is>
      </c>
      <c r="B8" t="n">
        <v>42013</v>
      </c>
      <c r="C8" t="inlineStr">
        <is>
          <t>trend_up</t>
        </is>
      </c>
      <c r="D8" t="inlineStr">
        <is>
          <t>PASS if MoM &amp; YoY rising</t>
        </is>
      </c>
      <c r="E8" t="inlineStr">
        <is>
          <t>与产能利用/ASP共同观测</t>
        </is>
      </c>
      <c r="G8" t="inlineStr">
        <is>
          <t>CHECK</t>
        </is>
      </c>
      <c r="H8" t="inlineStr">
        <is>
          <t>手工维护</t>
        </is>
      </c>
      <c r="L8" t="inlineStr">
        <is>
          <t>2025-12-29 08:21:12</t>
        </is>
      </c>
    </row>
    <row r="9">
      <c r="A9" t="inlineStr">
        <is>
          <t>Software ARPU (HKD/veh/qtr)</t>
        </is>
      </c>
      <c r="B9" t="n">
        <v>0</v>
      </c>
      <c r="C9" t="inlineStr">
        <is>
          <t>&gt;=300</t>
        </is>
      </c>
      <c r="D9" t="inlineStr">
        <is>
          <t>PASS if &gt;=Target</t>
        </is>
      </c>
      <c r="E9" t="inlineStr">
        <is>
          <t>免费化策略需关注</t>
        </is>
      </c>
      <c r="F9" t="n">
        <v>300</v>
      </c>
      <c r="G9" t="inlineStr">
        <is>
          <t>FAIL</t>
        </is>
      </c>
      <c r="H9" t="inlineStr">
        <is>
          <t>手工维护</t>
        </is>
      </c>
      <c r="L9" t="inlineStr">
        <is>
          <t>2025-12-29 08:21:12</t>
        </is>
      </c>
    </row>
    <row r="10">
      <c r="A10" t="inlineStr">
        <is>
          <t>Robotics Rev Share (%)</t>
        </is>
      </c>
      <c r="B10" t="n">
        <v>0</v>
      </c>
      <c r="C10" t="inlineStr">
        <is>
          <t>&gt;=5</t>
        </is>
      </c>
      <c r="D10" t="inlineStr">
        <is>
          <t>PASS if &gt;=Target</t>
        </is>
      </c>
      <c r="E10" t="inlineStr">
        <is>
          <t>财报未单列披露机器人收入时按0%；若披露则填：机器人业务收入/总营收（同口径、同期间）</t>
        </is>
      </c>
      <c r="F10" t="n">
        <v>5</v>
      </c>
      <c r="G10" t="inlineStr">
        <is>
          <t>FAIL</t>
        </is>
      </c>
      <c r="H10" t="inlineStr">
        <is>
          <t>自动识别(财报/表格)</t>
        </is>
      </c>
      <c r="J10" t="inlineStr">
        <is>
          <t>KPI_Monitor!A10（占比字段邻近数值）</t>
        </is>
      </c>
      <c r="K10" t="inlineStr">
        <is>
          <t>robot|robotics|robotaxi|humanoid|机器人|人形|萝卜快跑</t>
        </is>
      </c>
      <c r="L10" t="inlineStr">
        <is>
          <t>2025-12-29 12:21:23</t>
        </is>
      </c>
    </row>
  </sheetData>
  <conditionalFormatting sqref="B2">
    <cfRule type="expression" priority="1" dxfId="2">
      <formula>B2&gt;=F2</formula>
    </cfRule>
    <cfRule type="expression" priority="2" dxfId="1">
      <formula>AND(B2&gt;=F2*0.9,B2&lt;F2)</formula>
    </cfRule>
    <cfRule type="expression" priority="3" dxfId="0">
      <formula>B2&lt;F2*0.9</formula>
    </cfRule>
  </conditionalFormatting>
  <conditionalFormatting sqref="B4:B5">
    <cfRule type="expression" priority="4" dxfId="2">
      <formula>B4&gt;=F4</formula>
    </cfRule>
    <cfRule type="expression" priority="5" dxfId="1">
      <formula>AND(B4&gt;=F4*0.9,B4&lt;F4)</formula>
    </cfRule>
    <cfRule type="expression" priority="6" dxfId="0">
      <formula>B4&lt;F4*0.9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Date</t>
        </is>
      </c>
      <c r="B1" s="1" t="inlineStr">
        <is>
          <t>Close_HKD</t>
        </is>
      </c>
      <c r="C1" s="1" t="inlineStr">
        <is>
          <t>Deliveries</t>
        </is>
      </c>
      <c r="D1" s="1" t="inlineStr">
        <is>
          <t>Revenue_HKD_bn</t>
        </is>
      </c>
      <c r="E1" s="1" t="inlineStr">
        <is>
          <t>GM_%</t>
        </is>
      </c>
      <c r="F1" s="1" t="inlineStr">
        <is>
          <t>Vehicle_GM_%</t>
        </is>
      </c>
      <c r="G1" s="1" t="inlineStr">
        <is>
          <t>FCF_HKD_bn</t>
        </is>
      </c>
      <c r="H1" s="1" t="inlineStr">
        <is>
          <t>Cash_HKD_bn</t>
        </is>
      </c>
      <c r="I1" s="1" t="inlineStr">
        <is>
          <t>Debt_HKD_bn</t>
        </is>
      </c>
      <c r="J1" s="1" t="inlineStr">
        <is>
          <t>TechSvc_Share_%</t>
        </is>
      </c>
      <c r="K1" s="1" t="inlineStr">
        <is>
          <t>Soft_ARPU_HKD_qtr</t>
        </is>
      </c>
    </row>
    <row r="2">
      <c r="A2" t="inlineStr">
        <is>
          <t>2025-10-31</t>
        </is>
      </c>
      <c r="B2" t="n">
        <v>96.34999999999999</v>
      </c>
      <c r="C2" t="n">
        <v>42013</v>
      </c>
      <c r="D2" t="n">
        <v>18</v>
      </c>
      <c r="E2" t="n">
        <v>20.1</v>
      </c>
      <c r="F2" t="n">
        <v>13.1</v>
      </c>
      <c r="G2" t="n">
        <v>-0.5</v>
      </c>
      <c r="H2" t="n">
        <v>52.8</v>
      </c>
      <c r="I2" t="n">
        <v>12.9</v>
      </c>
      <c r="J2" t="n">
        <v>6</v>
      </c>
      <c r="K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13" sqref="C13"/>
    </sheetView>
  </sheetViews>
  <sheetFormatPr baseColWidth="8" defaultRowHeight="14.4"/>
  <cols>
    <col width="15" bestFit="1" customWidth="1" min="1" max="1"/>
    <col width="46.77734375" bestFit="1" customWidth="1" min="2" max="2"/>
    <col width="23.77734375" bestFit="1" customWidth="1" min="3" max="3"/>
  </cols>
  <sheetData>
    <row r="1">
      <c r="A1" s="1" t="inlineStr">
        <is>
          <t>Rule</t>
        </is>
      </c>
      <c r="B1" s="1" t="inlineStr">
        <is>
          <t>Condition</t>
        </is>
      </c>
      <c r="C1" s="1" t="inlineStr">
        <is>
          <t>Action</t>
        </is>
      </c>
    </row>
    <row r="2">
      <c r="A2" t="inlineStr">
        <is>
          <t>Initial Entry</t>
        </is>
      </c>
      <c r="B2" t="inlineStr">
        <is>
          <t>Price &lt;= 0.90 * Base_IV AND RedFlags=Low</t>
        </is>
      </c>
      <c r="C2" t="inlineStr">
        <is>
          <t>Enter 1/3 position</t>
        </is>
      </c>
    </row>
    <row r="3">
      <c r="A3" t="inlineStr">
        <is>
          <t>Add #1</t>
        </is>
      </c>
      <c r="B3" t="inlineStr">
        <is>
          <t>Price &lt;= 0.80 * Base_IV AND VehicleGM&gt;=15%</t>
        </is>
      </c>
      <c r="C3" t="inlineStr">
        <is>
          <t>Increase to 2/3</t>
        </is>
      </c>
    </row>
    <row r="4">
      <c r="A4" t="inlineStr">
        <is>
          <t>Full</t>
        </is>
      </c>
      <c r="B4" t="inlineStr">
        <is>
          <t>FCF &gt;= 0 for 2 consecutive quarters</t>
        </is>
      </c>
      <c r="C4" t="inlineStr">
        <is>
          <t>Move to full position</t>
        </is>
      </c>
    </row>
    <row r="5">
      <c r="A5" t="inlineStr">
        <is>
          <t>De-risk</t>
        </is>
      </c>
      <c r="B5" t="inlineStr">
        <is>
          <t>Any Red Flag in §1.3 triggered</t>
        </is>
      </c>
      <c r="C5" t="inlineStr">
        <is>
          <t>Reduce by 50%-100%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Scenario</t>
        </is>
      </c>
      <c r="B1" s="1" t="inlineStr">
        <is>
          <t>IV_HKD_per_share</t>
        </is>
      </c>
      <c r="C1" s="1" t="inlineStr">
        <is>
          <t>EV_bn</t>
        </is>
      </c>
      <c r="D1" s="1" t="inlineStr">
        <is>
          <t>Equity_bn</t>
        </is>
      </c>
    </row>
    <row r="2">
      <c r="A2" t="inlineStr">
        <is>
          <t>Bear</t>
        </is>
      </c>
      <c r="B2" t="n">
        <v>34.4107292409586</v>
      </c>
      <c r="C2" t="n">
        <v>25.81662700486592</v>
      </c>
      <c r="D2" t="n">
        <v>65.71662700486593</v>
      </c>
    </row>
    <row r="3">
      <c r="A3" t="inlineStr">
        <is>
          <t>Base</t>
        </is>
      </c>
      <c r="B3" t="n">
        <v>15.31404656443955</v>
      </c>
      <c r="C3" t="n">
        <v>-10.65367165388248</v>
      </c>
      <c r="D3" t="n">
        <v>29.24632834611752</v>
      </c>
    </row>
    <row r="4">
      <c r="A4" t="inlineStr">
        <is>
          <t>Bull</t>
        </is>
      </c>
      <c r="B4" t="n">
        <v>-210.4270790324397</v>
      </c>
      <c r="C4" t="n">
        <v>-441.7676200572451</v>
      </c>
      <c r="D4" t="n">
        <v>-401.8676200572451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WACC</t>
        </is>
      </c>
      <c r="B1" s="1" t="inlineStr">
        <is>
          <t>g=1.0%</t>
        </is>
      </c>
      <c r="C1" s="1" t="inlineStr">
        <is>
          <t>g=1.5%</t>
        </is>
      </c>
      <c r="D1" s="1" t="inlineStr">
        <is>
          <t>g=2.0%</t>
        </is>
      </c>
      <c r="E1" s="1" t="inlineStr">
        <is>
          <t>g=2.5%</t>
        </is>
      </c>
      <c r="F1" s="1" t="inlineStr">
        <is>
          <t>g=3.0%</t>
        </is>
      </c>
    </row>
    <row r="2">
      <c r="A2" t="inlineStr">
        <is>
          <t>5.9%</t>
        </is>
      </c>
      <c r="B2" t="n">
        <v>17.20669536430549</v>
      </c>
      <c r="C2" t="n">
        <v>18.45871238104337</v>
      </c>
      <c r="D2" t="n">
        <v>20.03175940207301</v>
      </c>
      <c r="E2" t="n">
        <v>22.06746731164079</v>
      </c>
      <c r="F2" t="n">
        <v>24.8051434658871</v>
      </c>
    </row>
    <row r="3">
      <c r="A3" t="inlineStr">
        <is>
          <t>6.4%</t>
        </is>
      </c>
      <c r="B3" t="n">
        <v>15.93975173975684</v>
      </c>
      <c r="C3" t="n">
        <v>16.91756998735608</v>
      </c>
      <c r="D3" t="n">
        <v>18.11761965486424</v>
      </c>
      <c r="E3" t="n">
        <v>19.62537436532321</v>
      </c>
      <c r="F3" t="n">
        <v>21.57658634356424</v>
      </c>
    </row>
    <row r="4">
      <c r="A4" t="inlineStr">
        <is>
          <t>6.9%</t>
        </is>
      </c>
      <c r="B4" t="n">
        <v>14.93019480886982</v>
      </c>
      <c r="C4" t="n">
        <v>15.70872867800261</v>
      </c>
      <c r="D4" t="n">
        <v>16.64614701022372</v>
      </c>
      <c r="E4" t="n">
        <v>17.79661496340418</v>
      </c>
      <c r="F4" t="n">
        <v>19.24207469945142</v>
      </c>
    </row>
    <row r="5">
      <c r="A5" t="inlineStr">
        <is>
          <t>7.4%</t>
        </is>
      </c>
      <c r="B5" t="n">
        <v>14.1162064638058</v>
      </c>
      <c r="C5" t="n">
        <v>14.74607818579836</v>
      </c>
      <c r="D5" t="n">
        <v>15.49259281927101</v>
      </c>
      <c r="E5" t="n">
        <v>16.39145737794217</v>
      </c>
      <c r="F5" t="n">
        <v>17.49460933631132</v>
      </c>
    </row>
    <row r="6">
      <c r="A6" t="inlineStr">
        <is>
          <t>7.9%</t>
        </is>
      </c>
      <c r="B6" t="n">
        <v>13.45395004594919</v>
      </c>
      <c r="C6" t="n">
        <v>13.97048600686745</v>
      </c>
      <c r="D6" t="n">
        <v>14.57457043573796</v>
      </c>
      <c r="E6" t="n">
        <v>15.29052235143635</v>
      </c>
      <c r="F6" t="n">
        <v>16.15258690299155</v>
      </c>
    </row>
  </sheetData>
  <conditionalFormatting sqref="B2:F6">
    <cfRule type="colorScale" priority="1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2025-11-18T07:35:19Z</dcterms:created>
  <dcterms:modified xsi:type="dcterms:W3CDTF">2025-12-29T12:21:23Z</dcterms:modified>
  <cp:lastModifiedBy>ABC</cp:lastModifiedBy>
</cp:coreProperties>
</file>