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investment\XPENG\"/>
    </mc:Choice>
  </mc:AlternateContent>
  <xr:revisionPtr revIDLastSave="0" documentId="13_ncr:1_{2C2102C3-8D30-4E31-B5ED-A80E7C181704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README" sheetId="1" r:id="rId1"/>
    <sheet name="Assumptions" sheetId="2" r:id="rId2"/>
    <sheet name="Start_Rev_2025" sheetId="3" r:id="rId3"/>
    <sheet name="Scenarios" sheetId="4" r:id="rId4"/>
    <sheet name="KPI_Monitor" sheetId="5" r:id="rId5"/>
    <sheet name="Data_Log" sheetId="6" r:id="rId6"/>
    <sheet name="Discipline" sheetId="7" r:id="rId7"/>
    <sheet name="Summary" sheetId="8" r:id="rId8"/>
    <sheet name="Sensitivity" sheetId="9" r:id="rId9"/>
  </sheets>
  <calcPr calcId="0"/>
</workbook>
</file>

<file path=xl/sharedStrings.xml><?xml version="1.0" encoding="utf-8"?>
<sst xmlns="http://schemas.openxmlformats.org/spreadsheetml/2006/main" count="167" uniqueCount="119">
  <si>
    <t>HowTo</t>
  </si>
  <si>
    <t>1) 在 Assumptions/Start_Rev_2025/Scenarios 中编辑参数；</t>
  </si>
  <si>
    <t>2) Data_Log 每月追加；KPI_Monitor 与 Summary 自动参考；</t>
  </si>
  <si>
    <t>3) Sensitivity 显示 WACC × g 下的 Base 情景内在价值热力图；</t>
  </si>
  <si>
    <t>4) Discipline 页为函数化仓位规则；</t>
  </si>
  <si>
    <t>Build at: 2025-11-18T07:35:19Z UTC</t>
  </si>
  <si>
    <t>Item</t>
  </si>
  <si>
    <t>Value</t>
  </si>
  <si>
    <t>Unit</t>
  </si>
  <si>
    <t>Notes</t>
  </si>
  <si>
    <t>As Of Date</t>
  </si>
  <si>
    <t>2025-11-17</t>
  </si>
  <si>
    <t>Currency</t>
  </si>
  <si>
    <t>HKD</t>
  </si>
  <si>
    <t>Share Count (bn)</t>
  </si>
  <si>
    <t>bn</t>
  </si>
  <si>
    <t>HKEX Monthly Return</t>
  </si>
  <si>
    <t>Current Price</t>
  </si>
  <si>
    <t>2025-11-17 close</t>
  </si>
  <si>
    <t>Net Cash (bn)</t>
  </si>
  <si>
    <t>HKD bn</t>
  </si>
  <si>
    <t>9/30 season-end</t>
  </si>
  <si>
    <t>Risk-Free Rate (Rf)</t>
  </si>
  <si>
    <t>Equity Risk Premium (ERP)</t>
  </si>
  <si>
    <t>Beta</t>
  </si>
  <si>
    <t>Tax Rate</t>
  </si>
  <si>
    <t>Target Debt Ratio (D/(D+E))</t>
  </si>
  <si>
    <t>Pre-tax Cost of Debt</t>
  </si>
  <si>
    <t>Terminal Growth (g)</t>
  </si>
  <si>
    <t>Sales-to-Capital</t>
  </si>
  <si>
    <t>FX CNY per HKD</t>
  </si>
  <si>
    <t>Start_Rev_2025 (bn)</t>
  </si>
  <si>
    <t>可改为报表口径</t>
  </si>
  <si>
    <t>Scenario</t>
  </si>
  <si>
    <t>Year</t>
  </si>
  <si>
    <t>Rev_CAGR</t>
  </si>
  <si>
    <t>EBIT_margin</t>
  </si>
  <si>
    <t>Bear</t>
  </si>
  <si>
    <t>Base</t>
  </si>
  <si>
    <t>Bull</t>
  </si>
  <si>
    <t>Metric</t>
  </si>
  <si>
    <t>Latest</t>
  </si>
  <si>
    <t>Target/Threshold</t>
  </si>
  <si>
    <t>StatusRule</t>
  </si>
  <si>
    <t>Comment</t>
  </si>
  <si>
    <t>TargetNum</t>
  </si>
  <si>
    <t>Status</t>
  </si>
  <si>
    <t>Vehicle GM (%)</t>
  </si>
  <si>
    <t>&gt;=15</t>
  </si>
  <si>
    <t>PASS if &gt;=Target</t>
  </si>
  <si>
    <t>提升至15%将触发上修评级条件之一</t>
  </si>
  <si>
    <t>FAIL</t>
  </si>
  <si>
    <t>Consolidated GM (%)</t>
  </si>
  <si>
    <t>&gt;=20</t>
  </si>
  <si>
    <t>维持20%以上较稳健</t>
  </si>
  <si>
    <t>PASS</t>
  </si>
  <si>
    <t>FCF (TTM, bn HKD)</t>
  </si>
  <si>
    <t>&gt;=0</t>
  </si>
  <si>
    <t>转正并连续两个季度改善</t>
  </si>
  <si>
    <t>Tech/Service Rev Share (%)</t>
  </si>
  <si>
    <t>&gt;=10</t>
  </si>
  <si>
    <t>高毛利占比提升带动现金流质量</t>
  </si>
  <si>
    <t>Cash &amp; ST Inv (bn HKD)</t>
  </si>
  <si>
    <t>&gt;=35</t>
  </si>
  <si>
    <t>低于阈值需警惕</t>
  </si>
  <si>
    <t>1Y Debt Coverage (x)</t>
  </si>
  <si>
    <t>&gt;=1.2</t>
  </si>
  <si>
    <t>覆盖倍数不足1为红旗</t>
  </si>
  <si>
    <t>Monthly Deliveries (units)</t>
  </si>
  <si>
    <t>trend_up</t>
  </si>
  <si>
    <t>PASS if MoM &amp; YoY rising</t>
  </si>
  <si>
    <t>与产能利用/ASP共同观测</t>
  </si>
  <si>
    <t>CHECK</t>
  </si>
  <si>
    <t>Software ARPU (HKD/veh/qtr)</t>
  </si>
  <si>
    <t>&gt;=300</t>
  </si>
  <si>
    <t>免费化策略需关注</t>
  </si>
  <si>
    <t>Date</t>
  </si>
  <si>
    <t>Close_HKD</t>
  </si>
  <si>
    <t>Deliveries</t>
  </si>
  <si>
    <t>Revenue_HKD_bn</t>
  </si>
  <si>
    <t>GM_%</t>
  </si>
  <si>
    <t>Vehicle_GM_%</t>
  </si>
  <si>
    <t>FCF_HKD_bn</t>
  </si>
  <si>
    <t>Cash_HKD_bn</t>
  </si>
  <si>
    <t>Debt_HKD_bn</t>
  </si>
  <si>
    <t>TechSvc_Share_%</t>
  </si>
  <si>
    <t>Soft_ARPU_HKD_qtr</t>
  </si>
  <si>
    <t>2025-10-31</t>
  </si>
  <si>
    <t>Rule</t>
  </si>
  <si>
    <t>Condition</t>
  </si>
  <si>
    <t>Action</t>
  </si>
  <si>
    <t>Initial Entry</t>
  </si>
  <si>
    <t>Price &lt;= 0.90 * Base_IV AND RedFlags=Low</t>
  </si>
  <si>
    <t>Enter 1/3 position</t>
  </si>
  <si>
    <t>Add #1</t>
  </si>
  <si>
    <t>Price &lt;= 0.80 * Base_IV AND VehicleGM&gt;=15%</t>
  </si>
  <si>
    <t>Increase to 2/3</t>
  </si>
  <si>
    <t>Full</t>
  </si>
  <si>
    <t>FCF &gt;= 0 for 2 consecutive quarters</t>
  </si>
  <si>
    <t>Move to full position</t>
  </si>
  <si>
    <t>De-risk</t>
  </si>
  <si>
    <t>Any Red Flag in §1.3 triggered</t>
  </si>
  <si>
    <t>Reduce by 50%-100%</t>
  </si>
  <si>
    <t>IV_HKD_per_share</t>
  </si>
  <si>
    <t>EV_bn</t>
  </si>
  <si>
    <t>Equity_bn</t>
  </si>
  <si>
    <t>WACC</t>
  </si>
  <si>
    <t>g=1.0%</t>
  </si>
  <si>
    <t>g=1.5%</t>
  </si>
  <si>
    <t>g=2.0%</t>
  </si>
  <si>
    <t>g=2.5%</t>
  </si>
  <si>
    <t>g=3.0%</t>
  </si>
  <si>
    <t>5.9%</t>
  </si>
  <si>
    <t>6.4%</t>
  </si>
  <si>
    <t>6.9%</t>
  </si>
  <si>
    <t>7.4%</t>
  </si>
  <si>
    <t>7.9%</t>
  </si>
  <si>
    <t>Robotics Rev Share (%)</t>
  </si>
  <si>
    <t>&gt;=5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</si>
</sst>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6"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/>
  </sheetViews>
  <sheetFormatPr defaultRowHeight="14.4" x14ac:dyDescent="0.25"/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/>
  </sheetViews>
  <sheetFormatPr defaultRowHeight="14.4" x14ac:dyDescent="0.25"/>
  <cols>
    <col min="1" max="1" width="30.33203125" bestFit="1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t="s">
        <v>10</v>
      </c>
      <c r="B2" t="s">
        <v>11</v>
      </c>
    </row>
    <row r="3" spans="1:4" x14ac:dyDescent="0.25">
      <c r="A3" t="s">
        <v>12</v>
      </c>
      <c r="B3" t="s">
        <v>13</v>
      </c>
    </row>
    <row r="4" spans="1:4" x14ac:dyDescent="0.25">
      <c r="A4" t="s">
        <v>14</v>
      </c>
      <c r="B4">
        <v>1.9097714130000001</v>
      </c>
      <c r="C4" t="s">
        <v>15</v>
      </c>
      <c r="D4" t="s">
        <v>16</v>
      </c>
    </row>
    <row r="5" spans="1:4" x14ac:dyDescent="0.25">
      <c r="A5" t="s">
        <v>17</v>
      </c>
      <c r="B5">
        <v>96.35</v>
      </c>
      <c r="C5" t="s">
        <v>13</v>
      </c>
      <c r="D5" t="s">
        <v>18</v>
      </c>
    </row>
    <row r="6" spans="1:4" x14ac:dyDescent="0.25">
      <c r="A6" t="s">
        <v>19</v>
      </c>
      <c r="B6">
        <v>39.9</v>
      </c>
      <c r="C6" t="s">
        <v>20</v>
      </c>
      <c r="D6" t="s">
        <v>21</v>
      </c>
    </row>
    <row r="7" spans="1:4" x14ac:dyDescent="0.25">
      <c r="A7" t="s">
        <v>22</v>
      </c>
      <c r="B7">
        <v>1.8100000000000002E-2</v>
      </c>
    </row>
    <row r="8" spans="1:4" x14ac:dyDescent="0.25">
      <c r="A8" t="s">
        <v>23</v>
      </c>
      <c r="B8">
        <v>5.8999999999999997E-2</v>
      </c>
    </row>
    <row r="9" spans="1:4" x14ac:dyDescent="0.25">
      <c r="A9" t="s">
        <v>24</v>
      </c>
      <c r="B9">
        <v>1.04</v>
      </c>
    </row>
    <row r="10" spans="1:4" x14ac:dyDescent="0.25">
      <c r="A10" t="s">
        <v>25</v>
      </c>
      <c r="B10">
        <v>0.25</v>
      </c>
    </row>
    <row r="11" spans="1:4" x14ac:dyDescent="0.25">
      <c r="A11" t="s">
        <v>26</v>
      </c>
      <c r="B11">
        <v>0.1</v>
      </c>
    </row>
    <row r="12" spans="1:4" x14ac:dyDescent="0.25">
      <c r="A12" t="s">
        <v>27</v>
      </c>
      <c r="B12">
        <v>4.4999999999999998E-2</v>
      </c>
    </row>
    <row r="13" spans="1:4" x14ac:dyDescent="0.25">
      <c r="A13" t="s">
        <v>28</v>
      </c>
      <c r="B13">
        <v>0.02</v>
      </c>
    </row>
    <row r="14" spans="1:4" x14ac:dyDescent="0.25">
      <c r="A14" t="s">
        <v>29</v>
      </c>
      <c r="B14">
        <v>2.5</v>
      </c>
    </row>
    <row r="15" spans="1:4" x14ac:dyDescent="0.25">
      <c r="A15" t="s">
        <v>30</v>
      </c>
      <c r="B15">
        <v>0.91500000000000004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/>
  </sheetViews>
  <sheetFormatPr defaultRowHeight="14.4" x14ac:dyDescent="0.25"/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t="s">
        <v>31</v>
      </c>
      <c r="B2">
        <v>110</v>
      </c>
      <c r="C2" t="s">
        <v>20</v>
      </c>
      <c r="D2" t="s">
        <v>32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1"/>
  <sheetViews>
    <sheetView workbookViewId="0"/>
  </sheetViews>
  <sheetFormatPr defaultRowHeight="14.4" x14ac:dyDescent="0.25"/>
  <sheetData>
    <row r="1" spans="1:4" x14ac:dyDescent="0.25">
      <c r="A1" s="1" t="s">
        <v>33</v>
      </c>
      <c r="B1" s="1" t="s">
        <v>34</v>
      </c>
      <c r="C1" s="1" t="s">
        <v>35</v>
      </c>
      <c r="D1" s="1" t="s">
        <v>36</v>
      </c>
    </row>
    <row r="2" spans="1:4" x14ac:dyDescent="0.25">
      <c r="A2" t="s">
        <v>37</v>
      </c>
      <c r="B2">
        <v>2026</v>
      </c>
      <c r="C2">
        <v>0.08</v>
      </c>
      <c r="D2">
        <v>0</v>
      </c>
    </row>
    <row r="3" spans="1:4" x14ac:dyDescent="0.25">
      <c r="A3" t="s">
        <v>37</v>
      </c>
      <c r="B3">
        <v>2027</v>
      </c>
      <c r="C3">
        <v>0.08</v>
      </c>
      <c r="D3">
        <v>1.2500000000000001E-2</v>
      </c>
    </row>
    <row r="4" spans="1:4" x14ac:dyDescent="0.25">
      <c r="A4" t="s">
        <v>37</v>
      </c>
      <c r="B4">
        <v>2028</v>
      </c>
      <c r="C4">
        <v>0.08</v>
      </c>
      <c r="D4">
        <v>2.5000000000000001E-2</v>
      </c>
    </row>
    <row r="5" spans="1:4" x14ac:dyDescent="0.25">
      <c r="A5" t="s">
        <v>37</v>
      </c>
      <c r="B5">
        <v>2029</v>
      </c>
      <c r="C5">
        <v>0.08</v>
      </c>
      <c r="D5">
        <v>3.7500000000000012E-2</v>
      </c>
    </row>
    <row r="6" spans="1:4" x14ac:dyDescent="0.25">
      <c r="A6" t="s">
        <v>37</v>
      </c>
      <c r="B6">
        <v>2030</v>
      </c>
      <c r="C6">
        <v>0.08</v>
      </c>
      <c r="D6">
        <v>0.05</v>
      </c>
    </row>
    <row r="7" spans="1:4" x14ac:dyDescent="0.25">
      <c r="A7" t="s">
        <v>37</v>
      </c>
      <c r="B7">
        <v>2031</v>
      </c>
      <c r="C7">
        <v>0.08</v>
      </c>
      <c r="D7">
        <v>0.05</v>
      </c>
    </row>
    <row r="8" spans="1:4" x14ac:dyDescent="0.25">
      <c r="A8" t="s">
        <v>37</v>
      </c>
      <c r="B8">
        <v>2032</v>
      </c>
      <c r="C8">
        <v>0.08</v>
      </c>
      <c r="D8">
        <v>5.2499999999999998E-2</v>
      </c>
    </row>
    <row r="9" spans="1:4" x14ac:dyDescent="0.25">
      <c r="A9" t="s">
        <v>37</v>
      </c>
      <c r="B9">
        <v>2033</v>
      </c>
      <c r="C9">
        <v>0.08</v>
      </c>
      <c r="D9">
        <v>5.5E-2</v>
      </c>
    </row>
    <row r="10" spans="1:4" x14ac:dyDescent="0.25">
      <c r="A10" t="s">
        <v>37</v>
      </c>
      <c r="B10">
        <v>2034</v>
      </c>
      <c r="C10">
        <v>0.08</v>
      </c>
      <c r="D10">
        <v>5.7500000000000002E-2</v>
      </c>
    </row>
    <row r="11" spans="1:4" x14ac:dyDescent="0.25">
      <c r="A11" t="s">
        <v>37</v>
      </c>
      <c r="B11">
        <v>2035</v>
      </c>
      <c r="C11">
        <v>0.08</v>
      </c>
      <c r="D11">
        <v>0.06</v>
      </c>
    </row>
    <row r="12" spans="1:4" x14ac:dyDescent="0.25">
      <c r="A12" t="s">
        <v>38</v>
      </c>
      <c r="B12">
        <v>2026</v>
      </c>
      <c r="C12">
        <v>0.18</v>
      </c>
      <c r="D12">
        <v>0</v>
      </c>
    </row>
    <row r="13" spans="1:4" x14ac:dyDescent="0.25">
      <c r="A13" t="s">
        <v>38</v>
      </c>
      <c r="B13">
        <v>2027</v>
      </c>
      <c r="C13">
        <v>0.18</v>
      </c>
      <c r="D13">
        <v>2.2499999999999999E-2</v>
      </c>
    </row>
    <row r="14" spans="1:4" x14ac:dyDescent="0.25">
      <c r="A14" t="s">
        <v>38</v>
      </c>
      <c r="B14">
        <v>2028</v>
      </c>
      <c r="C14">
        <v>0.18</v>
      </c>
      <c r="D14">
        <v>4.4999999999999998E-2</v>
      </c>
    </row>
    <row r="15" spans="1:4" x14ac:dyDescent="0.25">
      <c r="A15" t="s">
        <v>38</v>
      </c>
      <c r="B15">
        <v>2029</v>
      </c>
      <c r="C15">
        <v>0.18</v>
      </c>
      <c r="D15">
        <v>6.7500000000000004E-2</v>
      </c>
    </row>
    <row r="16" spans="1:4" x14ac:dyDescent="0.25">
      <c r="A16" t="s">
        <v>38</v>
      </c>
      <c r="B16">
        <v>2030</v>
      </c>
      <c r="C16">
        <v>0.18</v>
      </c>
      <c r="D16">
        <v>0.09</v>
      </c>
    </row>
    <row r="17" spans="1:4" x14ac:dyDescent="0.25">
      <c r="A17" t="s">
        <v>38</v>
      </c>
      <c r="B17">
        <v>2031</v>
      </c>
      <c r="C17">
        <v>0.18</v>
      </c>
      <c r="D17">
        <v>0.09</v>
      </c>
    </row>
    <row r="18" spans="1:4" x14ac:dyDescent="0.25">
      <c r="A18" t="s">
        <v>38</v>
      </c>
      <c r="B18">
        <v>2032</v>
      </c>
      <c r="C18">
        <v>0.18</v>
      </c>
      <c r="D18">
        <v>9.2499999999999999E-2</v>
      </c>
    </row>
    <row r="19" spans="1:4" x14ac:dyDescent="0.25">
      <c r="A19" t="s">
        <v>38</v>
      </c>
      <c r="B19">
        <v>2033</v>
      </c>
      <c r="C19">
        <v>0.18</v>
      </c>
      <c r="D19">
        <v>9.5000000000000001E-2</v>
      </c>
    </row>
    <row r="20" spans="1:4" x14ac:dyDescent="0.25">
      <c r="A20" t="s">
        <v>38</v>
      </c>
      <c r="B20">
        <v>2034</v>
      </c>
      <c r="C20">
        <v>0.18</v>
      </c>
      <c r="D20">
        <v>9.7500000000000003E-2</v>
      </c>
    </row>
    <row r="21" spans="1:4" x14ac:dyDescent="0.25">
      <c r="A21" t="s">
        <v>38</v>
      </c>
      <c r="B21">
        <v>2035</v>
      </c>
      <c r="C21">
        <v>0.18</v>
      </c>
      <c r="D21">
        <v>0.1</v>
      </c>
    </row>
    <row r="22" spans="1:4" x14ac:dyDescent="0.25">
      <c r="A22" t="s">
        <v>39</v>
      </c>
      <c r="B22">
        <v>2026</v>
      </c>
      <c r="C22">
        <v>0.3</v>
      </c>
      <c r="D22">
        <v>0</v>
      </c>
    </row>
    <row r="23" spans="1:4" x14ac:dyDescent="0.25">
      <c r="A23" t="s">
        <v>39</v>
      </c>
      <c r="B23">
        <v>2027</v>
      </c>
      <c r="C23">
        <v>0.3</v>
      </c>
      <c r="D23">
        <v>0.03</v>
      </c>
    </row>
    <row r="24" spans="1:4" x14ac:dyDescent="0.25">
      <c r="A24" t="s">
        <v>39</v>
      </c>
      <c r="B24">
        <v>2028</v>
      </c>
      <c r="C24">
        <v>0.3</v>
      </c>
      <c r="D24">
        <v>0.06</v>
      </c>
    </row>
    <row r="25" spans="1:4" x14ac:dyDescent="0.25">
      <c r="A25" t="s">
        <v>39</v>
      </c>
      <c r="B25">
        <v>2029</v>
      </c>
      <c r="C25">
        <v>0.3</v>
      </c>
      <c r="D25">
        <v>0.09</v>
      </c>
    </row>
    <row r="26" spans="1:4" x14ac:dyDescent="0.25">
      <c r="A26" t="s">
        <v>39</v>
      </c>
      <c r="B26">
        <v>2030</v>
      </c>
      <c r="C26">
        <v>0.3</v>
      </c>
      <c r="D26">
        <v>0.12</v>
      </c>
    </row>
    <row r="27" spans="1:4" x14ac:dyDescent="0.25">
      <c r="A27" t="s">
        <v>39</v>
      </c>
      <c r="B27">
        <v>2031</v>
      </c>
      <c r="C27">
        <v>0.3</v>
      </c>
      <c r="D27">
        <v>0.12</v>
      </c>
    </row>
    <row r="28" spans="1:4" x14ac:dyDescent="0.25">
      <c r="A28" t="s">
        <v>39</v>
      </c>
      <c r="B28">
        <v>2032</v>
      </c>
      <c r="C28">
        <v>0.3</v>
      </c>
      <c r="D28">
        <v>0.1225</v>
      </c>
    </row>
    <row r="29" spans="1:4" x14ac:dyDescent="0.25">
      <c r="A29" t="s">
        <v>39</v>
      </c>
      <c r="B29">
        <v>2033</v>
      </c>
      <c r="C29">
        <v>0.3</v>
      </c>
      <c r="D29">
        <v>0.125</v>
      </c>
    </row>
    <row r="30" spans="1:4" x14ac:dyDescent="0.25">
      <c r="A30" t="s">
        <v>39</v>
      </c>
      <c r="B30">
        <v>2034</v>
      </c>
      <c r="C30">
        <v>0.3</v>
      </c>
      <c r="D30">
        <v>0.1275</v>
      </c>
    </row>
    <row r="31" spans="1:4" x14ac:dyDescent="0.25">
      <c r="A31" t="s">
        <v>39</v>
      </c>
      <c r="B31">
        <v>2035</v>
      </c>
      <c r="C31">
        <v>0.3</v>
      </c>
      <c r="D31">
        <v>0.13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"/>
  <sheetViews>
    <sheetView tabSelected="1" workbookViewId="0">
      <selection activeCell="B10" sqref="B10"/>
    </sheetView>
  </sheetViews>
  <sheetFormatPr defaultRowHeight="14.4" x14ac:dyDescent="0.25"/>
  <cols>
    <col min="1" max="1" width="30.33203125" bestFit="1" customWidth="1"/>
    <col min="2" max="2" width="8.21875" bestFit="1" customWidth="1"/>
    <col min="3" max="3" width="20.21875" bestFit="1" customWidth="1"/>
    <col min="4" max="4" width="27.109375" bestFit="1" customWidth="1"/>
    <col min="5" max="5" width="34.77734375" bestFit="1" customWidth="1"/>
    <col min="6" max="6" width="11.6640625" bestFit="1" customWidth="1"/>
    <col min="7" max="7" width="8.21875" bestFit="1" customWidth="1"/>
  </cols>
  <sheetData>
    <row r="1" spans="1:7" x14ac:dyDescent="0.2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</row>
    <row r="2" spans="1:7" x14ac:dyDescent="0.25">
      <c r="A2" t="s">
        <v>47</v>
      </c>
      <c r="B2">
        <v>13.1</v>
      </c>
      <c r="C2" t="s">
        <v>48</v>
      </c>
      <c r="D2" t="s">
        <v>49</v>
      </c>
      <c r="E2" t="s">
        <v>50</v>
      </c>
      <c r="F2">
        <v>15</v>
      </c>
      <c r="G2" t="s">
        <v>51</v>
      </c>
    </row>
    <row r="3" spans="1:7" x14ac:dyDescent="0.25">
      <c r="A3" t="s">
        <v>52</v>
      </c>
      <c r="B3">
        <v>20.100000000000001</v>
      </c>
      <c r="C3" t="s">
        <v>53</v>
      </c>
      <c r="D3" t="s">
        <v>49</v>
      </c>
      <c r="E3" t="s">
        <v>54</v>
      </c>
      <c r="F3">
        <v>20</v>
      </c>
      <c r="G3" t="s">
        <v>55</v>
      </c>
    </row>
    <row r="4" spans="1:7" x14ac:dyDescent="0.25">
      <c r="A4" t="s">
        <v>56</v>
      </c>
      <c r="B4">
        <v>-2</v>
      </c>
      <c r="C4" t="s">
        <v>57</v>
      </c>
      <c r="D4" t="s">
        <v>49</v>
      </c>
      <c r="E4" t="s">
        <v>58</v>
      </c>
      <c r="F4">
        <v>0</v>
      </c>
      <c r="G4" t="s">
        <v>51</v>
      </c>
    </row>
    <row r="5" spans="1:7" x14ac:dyDescent="0.25">
      <c r="A5" t="s">
        <v>59</v>
      </c>
      <c r="B5">
        <v>6</v>
      </c>
      <c r="C5" t="s">
        <v>60</v>
      </c>
      <c r="D5" t="s">
        <v>49</v>
      </c>
      <c r="E5" t="s">
        <v>61</v>
      </c>
      <c r="F5">
        <v>10</v>
      </c>
      <c r="G5" t="s">
        <v>51</v>
      </c>
    </row>
    <row r="6" spans="1:7" x14ac:dyDescent="0.25">
      <c r="A6" t="s">
        <v>62</v>
      </c>
      <c r="B6">
        <v>52.8</v>
      </c>
      <c r="C6" t="s">
        <v>63</v>
      </c>
      <c r="D6" t="s">
        <v>49</v>
      </c>
      <c r="E6" t="s">
        <v>64</v>
      </c>
      <c r="F6">
        <v>35</v>
      </c>
      <c r="G6" t="s">
        <v>55</v>
      </c>
    </row>
    <row r="7" spans="1:7" x14ac:dyDescent="0.25">
      <c r="A7" t="s">
        <v>65</v>
      </c>
      <c r="B7">
        <v>1.8</v>
      </c>
      <c r="C7" t="s">
        <v>66</v>
      </c>
      <c r="D7" t="s">
        <v>49</v>
      </c>
      <c r="E7" t="s">
        <v>67</v>
      </c>
      <c r="F7">
        <v>1.2</v>
      </c>
      <c r="G7" t="s">
        <v>55</v>
      </c>
    </row>
    <row r="8" spans="1:7" x14ac:dyDescent="0.25">
      <c r="A8" t="s">
        <v>68</v>
      </c>
      <c r="B8">
        <v>42013</v>
      </c>
      <c r="C8" t="s">
        <v>69</v>
      </c>
      <c r="D8" t="s">
        <v>70</v>
      </c>
      <c r="E8" t="s">
        <v>71</v>
      </c>
      <c r="G8" t="s">
        <v>72</v>
      </c>
    </row>
    <row r="9" spans="1:7" x14ac:dyDescent="0.25">
      <c r="A9" t="s">
        <v>73</v>
      </c>
      <c r="B9">
        <v>0</v>
      </c>
      <c r="C9" t="s">
        <v>74</v>
      </c>
      <c r="D9" t="s">
        <v>49</v>
      </c>
      <c r="E9" t="s">
        <v>75</v>
      </c>
      <c r="F9">
        <v>300</v>
      </c>
      <c r="G9" t="s">
        <v>51</v>
      </c>
    </row>
    <row r="10" spans="1:7" x14ac:dyDescent="0.25">
      <c r="A10" t="s">
        <v>117</v>
      </c>
      <c r="C10" t="s">
        <v>118</v>
      </c>
    </row>
  </sheetData>
  <phoneticPr fontId="2" type="noConversion"/>
  <conditionalFormatting sqref="B2">
    <cfRule type="expression" dxfId="5" priority="1">
      <formula>B2&gt;=F2</formula>
    </cfRule>
    <cfRule type="expression" dxfId="4" priority="2">
      <formula>AND(B2&gt;=F2*0.9,B2&lt;F2)</formula>
    </cfRule>
    <cfRule type="expression" dxfId="3" priority="3">
      <formula>B2&lt;F2*0.9</formula>
    </cfRule>
  </conditionalFormatting>
  <conditionalFormatting sqref="B4:B5">
    <cfRule type="expression" dxfId="2" priority="4">
      <formula>B4&gt;=F4</formula>
    </cfRule>
    <cfRule type="expression" dxfId="1" priority="5">
      <formula>AND(B4&gt;=F4*0.9,B4&lt;F4)</formula>
    </cfRule>
    <cfRule type="expression" dxfId="0" priority="6">
      <formula>B4&lt;F4*0.9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"/>
  <sheetViews>
    <sheetView workbookViewId="0"/>
  </sheetViews>
  <sheetFormatPr defaultRowHeight="14.4" x14ac:dyDescent="0.25"/>
  <sheetData>
    <row r="1" spans="1:11" x14ac:dyDescent="0.25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86</v>
      </c>
    </row>
    <row r="2" spans="1:11" x14ac:dyDescent="0.25">
      <c r="A2" t="s">
        <v>87</v>
      </c>
      <c r="B2">
        <v>96.35</v>
      </c>
      <c r="C2">
        <v>42013</v>
      </c>
      <c r="D2">
        <v>18</v>
      </c>
      <c r="E2">
        <v>20.100000000000001</v>
      </c>
      <c r="F2">
        <v>13.1</v>
      </c>
      <c r="G2">
        <v>-0.5</v>
      </c>
      <c r="H2">
        <v>52.8</v>
      </c>
      <c r="I2">
        <v>12.9</v>
      </c>
      <c r="J2">
        <v>6</v>
      </c>
      <c r="K2">
        <v>0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"/>
  <sheetViews>
    <sheetView workbookViewId="0">
      <selection activeCell="C13" sqref="C13"/>
    </sheetView>
  </sheetViews>
  <sheetFormatPr defaultRowHeight="14.4" x14ac:dyDescent="0.25"/>
  <cols>
    <col min="1" max="1" width="15" bestFit="1" customWidth="1"/>
    <col min="2" max="2" width="46.77734375" bestFit="1" customWidth="1"/>
    <col min="3" max="3" width="23.77734375" bestFit="1" customWidth="1"/>
  </cols>
  <sheetData>
    <row r="1" spans="1:3" x14ac:dyDescent="0.25">
      <c r="A1" s="1" t="s">
        <v>88</v>
      </c>
      <c r="B1" s="1" t="s">
        <v>89</v>
      </c>
      <c r="C1" s="1" t="s">
        <v>90</v>
      </c>
    </row>
    <row r="2" spans="1:3" x14ac:dyDescent="0.25">
      <c r="A2" t="s">
        <v>91</v>
      </c>
      <c r="B2" t="s">
        <v>92</v>
      </c>
      <c r="C2" t="s">
        <v>93</v>
      </c>
    </row>
    <row r="3" spans="1:3" x14ac:dyDescent="0.25">
      <c r="A3" t="s">
        <v>94</v>
      </c>
      <c r="B3" t="s">
        <v>95</v>
      </c>
      <c r="C3" t="s">
        <v>96</v>
      </c>
    </row>
    <row r="4" spans="1:3" x14ac:dyDescent="0.25">
      <c r="A4" t="s">
        <v>97</v>
      </c>
      <c r="B4" t="s">
        <v>98</v>
      </c>
      <c r="C4" t="s">
        <v>99</v>
      </c>
    </row>
    <row r="5" spans="1:3" x14ac:dyDescent="0.25">
      <c r="A5" t="s">
        <v>100</v>
      </c>
      <c r="B5" t="s">
        <v>101</v>
      </c>
      <c r="C5" t="s">
        <v>102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workbookViewId="0"/>
  </sheetViews>
  <sheetFormatPr defaultRowHeight="14.4" x14ac:dyDescent="0.25"/>
  <sheetData>
    <row r="1" spans="1:4" x14ac:dyDescent="0.25">
      <c r="A1" s="1" t="s">
        <v>33</v>
      </c>
      <c r="B1" s="1" t="s">
        <v>103</v>
      </c>
      <c r="C1" s="1" t="s">
        <v>104</v>
      </c>
      <c r="D1" s="1" t="s">
        <v>105</v>
      </c>
    </row>
    <row r="2" spans="1:4" x14ac:dyDescent="0.25">
      <c r="A2" t="s">
        <v>37</v>
      </c>
      <c r="B2">
        <v>34.410729240958602</v>
      </c>
      <c r="C2">
        <v>25.816627004865921</v>
      </c>
      <c r="D2">
        <v>65.716627004865927</v>
      </c>
    </row>
    <row r="3" spans="1:4" x14ac:dyDescent="0.25">
      <c r="A3" t="s">
        <v>38</v>
      </c>
      <c r="B3">
        <v>15.31404656443955</v>
      </c>
      <c r="C3">
        <v>-10.65367165388248</v>
      </c>
      <c r="D3">
        <v>29.246328346117519</v>
      </c>
    </row>
    <row r="4" spans="1:4" x14ac:dyDescent="0.25">
      <c r="A4" t="s">
        <v>39</v>
      </c>
      <c r="B4">
        <v>-210.42707903243971</v>
      </c>
      <c r="C4">
        <v>-441.7676200572451</v>
      </c>
      <c r="D4">
        <v>-401.86762005724512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/>
  </sheetViews>
  <sheetFormatPr defaultRowHeight="14.4" x14ac:dyDescent="0.25"/>
  <sheetData>
    <row r="1" spans="1:6" x14ac:dyDescent="0.2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</row>
    <row r="2" spans="1:6" x14ac:dyDescent="0.25">
      <c r="A2" t="s">
        <v>112</v>
      </c>
      <c r="B2">
        <v>17.206695364305489</v>
      </c>
      <c r="C2">
        <v>18.45871238104337</v>
      </c>
      <c r="D2">
        <v>20.031759402073011</v>
      </c>
      <c r="E2">
        <v>22.06746731164079</v>
      </c>
      <c r="F2">
        <v>24.805143465887099</v>
      </c>
    </row>
    <row r="3" spans="1:6" x14ac:dyDescent="0.25">
      <c r="A3" t="s">
        <v>113</v>
      </c>
      <c r="B3">
        <v>15.93975173975684</v>
      </c>
      <c r="C3">
        <v>16.917569987356082</v>
      </c>
      <c r="D3">
        <v>18.117619654864239</v>
      </c>
      <c r="E3">
        <v>19.625374365323211</v>
      </c>
      <c r="F3">
        <v>21.576586343564241</v>
      </c>
    </row>
    <row r="4" spans="1:6" x14ac:dyDescent="0.25">
      <c r="A4" t="s">
        <v>114</v>
      </c>
      <c r="B4">
        <v>14.930194808869819</v>
      </c>
      <c r="C4">
        <v>15.708728678002609</v>
      </c>
      <c r="D4">
        <v>16.646147010223721</v>
      </c>
      <c r="E4">
        <v>17.796614963404181</v>
      </c>
      <c r="F4">
        <v>19.242074699451418</v>
      </c>
    </row>
    <row r="5" spans="1:6" x14ac:dyDescent="0.25">
      <c r="A5" t="s">
        <v>115</v>
      </c>
      <c r="B5">
        <v>14.116206463805799</v>
      </c>
      <c r="C5">
        <v>14.74607818579836</v>
      </c>
      <c r="D5">
        <v>15.49259281927101</v>
      </c>
      <c r="E5">
        <v>16.391457377942171</v>
      </c>
      <c r="F5">
        <v>17.494609336311321</v>
      </c>
    </row>
    <row r="6" spans="1:6" x14ac:dyDescent="0.25">
      <c r="A6" t="s">
        <v>116</v>
      </c>
      <c r="B6">
        <v>13.45395004594919</v>
      </c>
      <c r="C6">
        <v>13.97048600686745</v>
      </c>
      <c r="D6">
        <v>14.574570435737961</v>
      </c>
      <c r="E6">
        <v>15.29052235143635</v>
      </c>
      <c r="F6">
        <v>16.152586902991551</v>
      </c>
    </row>
  </sheetData>
  <phoneticPr fontId="2" type="noConversion"/>
  <conditionalFormatting sqref="B2:F6">
    <cfRule type="colorScale" priority="1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README</vt:lpstr>
      <vt:lpstr>Assumptions</vt:lpstr>
      <vt:lpstr>Start_Rev_2025</vt:lpstr>
      <vt:lpstr>Scenarios</vt:lpstr>
      <vt:lpstr>KPI_Monitor</vt:lpstr>
      <vt:lpstr>Data_Log</vt:lpstr>
      <vt:lpstr>Discipline</vt:lpstr>
      <vt:lpstr>Summary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ABC</cp:lastModifiedBy>
  <dcterms:created xsi:type="dcterms:W3CDTF">2025-11-18T07:35:19Z</dcterms:created>
  <dcterms:modified xsi:type="dcterms:W3CDTF">2025-12-29T08:05:34Z</dcterms:modified>
</cp:coreProperties>
</file>